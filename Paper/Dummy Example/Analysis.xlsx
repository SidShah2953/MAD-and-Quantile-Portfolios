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dshah/Downloads/"/>
    </mc:Choice>
  </mc:AlternateContent>
  <xr:revisionPtr revIDLastSave="0" documentId="13_ncr:1_{E40FEF0E-678A-1448-9619-77D2C36E38C6}" xr6:coauthVersionLast="47" xr6:coauthVersionMax="47" xr10:uidLastSave="{00000000-0000-0000-0000-000000000000}"/>
  <bookViews>
    <workbookView xWindow="0" yWindow="500" windowWidth="38400" windowHeight="21100" xr2:uid="{C006080D-DBCC-4845-B864-19D48DF306C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5" i="1"/>
  <c r="J14" i="1"/>
  <c r="I13" i="1"/>
  <c r="I4" i="1"/>
  <c r="I5" i="1" s="1" a="1"/>
  <c r="I5" i="1" s="1"/>
  <c r="H5" i="1" a="1"/>
  <c r="H5" i="1" s="1"/>
  <c r="J12" i="1"/>
  <c r="J16" i="1"/>
  <c r="I16" i="1"/>
  <c r="J15" i="1"/>
  <c r="I14" i="1"/>
  <c r="K14" i="1" s="1"/>
  <c r="J13" i="1"/>
  <c r="I12" i="1"/>
  <c r="G13" i="1"/>
  <c r="G15" i="1"/>
  <c r="G16" i="1"/>
  <c r="G12" i="1"/>
  <c r="F13" i="1"/>
  <c r="F14" i="1"/>
  <c r="F16" i="1"/>
  <c r="K11" i="1"/>
  <c r="H11" i="1"/>
  <c r="H4" i="1"/>
  <c r="F4" i="1"/>
  <c r="F5" i="1" s="1" a="1"/>
  <c r="F5" i="1" s="1"/>
  <c r="H16" i="1" l="1"/>
  <c r="H13" i="1"/>
  <c r="K16" i="1"/>
  <c r="K13" i="1"/>
  <c r="G5" i="1" a="1"/>
  <c r="G5" i="1" s="1"/>
  <c r="I15" i="1"/>
  <c r="K15" i="1" s="1"/>
  <c r="G4" i="1"/>
  <c r="G14" i="1"/>
  <c r="H14" i="1" s="1"/>
  <c r="K12" i="1"/>
  <c r="H15" i="1"/>
  <c r="H12" i="1"/>
  <c r="I6" i="1"/>
  <c r="K17" i="1" l="1" a="1"/>
  <c r="K17" i="1" s="1"/>
  <c r="H17" i="1" a="1"/>
  <c r="H17" i="1" s="1"/>
  <c r="H6" i="1"/>
  <c r="F6" i="1"/>
  <c r="G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<sst xmlns="http://schemas.openxmlformats.org/spreadsheetml/2006/main" count="26" uniqueCount="14">
  <si>
    <t>Day</t>
  </si>
  <si>
    <t>X</t>
  </si>
  <si>
    <t>Y</t>
  </si>
  <si>
    <t>Daily Returns</t>
  </si>
  <si>
    <t>Mean</t>
  </si>
  <si>
    <t>MAD</t>
  </si>
  <si>
    <t>SD</t>
  </si>
  <si>
    <t>Risk Analysis</t>
  </si>
  <si>
    <t>Portfolio Analysis</t>
  </si>
  <si>
    <t>Weight</t>
  </si>
  <si>
    <t>Total</t>
  </si>
  <si>
    <t>Scaled Risk</t>
  </si>
  <si>
    <t>Final Value</t>
  </si>
  <si>
    <t>Ann.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</si>
</sst>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9" formatCode="0.0000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0" fontId="0" fillId="0" borderId="0" xfId="2" applyNumberFormat="1" applyFont="1"/>
    <xf numFmtId="0" fontId="0" fillId="0" borderId="0" xfId="0" applyAlignment="1">
      <alignment horizontal="center" vertical="center" wrapText="1"/>
    </xf>
    <xf numFmtId="10" fontId="0" fillId="0" borderId="0" xfId="0" applyNumberFormat="1"/>
    <xf numFmtId="43" fontId="0" fillId="0" borderId="0" xfId="1" applyFont="1"/>
    <xf numFmtId="0" fontId="0" fillId="0" borderId="0" xfId="0" applyAlignment="1"/>
    <xf numFmtId="169" fontId="0" fillId="0" borderId="0" xfId="1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E203B-71D4-E14C-9298-AB41D84ED2A8}">
  <dimension ref="A1:K17"/>
  <sheetViews>
    <sheetView tabSelected="1" workbookViewId="0">
      <selection activeCell="J19" sqref="J19"/>
    </sheetView>
  </sheetViews>
  <sheetFormatPr baseColWidth="10" defaultRowHeight="16" x14ac:dyDescent="0.2"/>
  <cols>
    <col min="8" max="8" width="10.83203125" customWidth="1"/>
  </cols>
  <sheetData>
    <row r="1" spans="1:11" x14ac:dyDescent="0.2">
      <c r="B1" s="2" t="s">
        <v>3</v>
      </c>
      <c r="C1" s="2"/>
      <c r="D1" s="1"/>
      <c r="E1" s="2" t="s">
        <v>7</v>
      </c>
      <c r="F1" s="2"/>
      <c r="G1" s="2"/>
      <c r="H1" s="2"/>
      <c r="I1" s="2"/>
    </row>
    <row r="2" spans="1:11" x14ac:dyDescent="0.2">
      <c r="B2" s="1"/>
      <c r="C2" s="1"/>
      <c r="D2" s="1"/>
      <c r="E2" s="1"/>
      <c r="F2" s="2" t="s">
        <v>5</v>
      </c>
      <c r="G2" s="2"/>
      <c r="H2" s="2" t="s">
        <v>6</v>
      </c>
      <c r="I2" s="2"/>
    </row>
    <row r="3" spans="1:11" x14ac:dyDescent="0.2">
      <c r="B3" s="1"/>
      <c r="C3" s="1"/>
      <c r="D3" s="1"/>
      <c r="E3" s="1"/>
      <c r="F3" t="s">
        <v>1</v>
      </c>
      <c r="G3" t="s">
        <v>2</v>
      </c>
      <c r="H3" t="s">
        <v>1</v>
      </c>
      <c r="I3" t="s">
        <v>2</v>
      </c>
    </row>
    <row r="4" spans="1:11" x14ac:dyDescent="0.2">
      <c r="A4" t="s">
        <v>0</v>
      </c>
      <c r="B4" t="s">
        <v>1</v>
      </c>
      <c r="C4" t="s">
        <v>2</v>
      </c>
      <c r="E4" t="s">
        <v>4</v>
      </c>
      <c r="F4" s="3">
        <f>AVERAGE(B5:B9)</f>
        <v>0.02</v>
      </c>
      <c r="G4" s="3">
        <f>AVERAGE(C5:C9)</f>
        <v>2.1999999999999999E-2</v>
      </c>
      <c r="H4" s="5">
        <f>AVERAGE(B5:B9)</f>
        <v>0.02</v>
      </c>
      <c r="I4" s="5">
        <f>AVERAGE(C5:C9)</f>
        <v>2.1999999999999999E-2</v>
      </c>
    </row>
    <row r="5" spans="1:11" x14ac:dyDescent="0.2">
      <c r="A5">
        <v>1</v>
      </c>
      <c r="B5" s="8">
        <v>1.4999999999999999E-2</v>
      </c>
      <c r="C5" s="8">
        <v>0.03</v>
      </c>
      <c r="D5" s="3"/>
      <c r="E5" t="s">
        <v>13</v>
      </c>
      <c r="F5" s="3" cm="1">
        <f t="array" ref="F5">AVERAGE(ABS(B5:B9- $F$4)) * (250)^0.5</f>
        <v>0.12649110640673519</v>
      </c>
      <c r="G5" s="3" cm="1">
        <f t="array" ref="G5">AVERAGE(ABS(C5:C9- $F$4)) * (250)^0.5</f>
        <v>0.22135943621178653</v>
      </c>
      <c r="H5" s="3" cm="1">
        <f t="array" ref="H5">AVERAGE((B5:B9 - H$4)^2) ^ 0.5 * (250)^0.5</f>
        <v>0.16583123951776998</v>
      </c>
      <c r="I5" s="3" cm="1">
        <f t="array" ref="I5">AVERAGE((C5:C9 - I$4)^2) ^ 0.5 * (250)^0.5</f>
        <v>0.28548204847240399</v>
      </c>
    </row>
    <row r="6" spans="1:11" x14ac:dyDescent="0.2">
      <c r="A6">
        <v>2</v>
      </c>
      <c r="B6" s="8">
        <v>0.01</v>
      </c>
      <c r="C6" s="8">
        <v>0.02</v>
      </c>
      <c r="D6" s="3"/>
      <c r="E6" t="s">
        <v>11</v>
      </c>
      <c r="F6" s="3">
        <f>F5*(3.14 / 2)^0.5</f>
        <v>0.15849290204927161</v>
      </c>
      <c r="G6" s="3">
        <f>G5*(3.14 / 2)^0.5</f>
        <v>0.27736257858622526</v>
      </c>
      <c r="H6" s="3">
        <f>H5</f>
        <v>0.16583123951776998</v>
      </c>
      <c r="I6" s="3">
        <f>I5</f>
        <v>0.28548204847240399</v>
      </c>
    </row>
    <row r="7" spans="1:11" x14ac:dyDescent="0.2">
      <c r="A7">
        <v>3</v>
      </c>
      <c r="B7" s="8">
        <v>1.4999999999999999E-2</v>
      </c>
      <c r="C7" s="8">
        <v>-0.01</v>
      </c>
      <c r="D7" s="3"/>
    </row>
    <row r="8" spans="1:11" x14ac:dyDescent="0.2">
      <c r="A8">
        <v>4</v>
      </c>
      <c r="B8" s="8">
        <v>0.02</v>
      </c>
      <c r="C8" s="8">
        <v>2.5000000000000001E-2</v>
      </c>
      <c r="D8" s="3"/>
      <c r="E8" s="2" t="s">
        <v>8</v>
      </c>
      <c r="F8" s="2"/>
      <c r="G8" s="2"/>
      <c r="H8" s="2"/>
      <c r="I8" s="2"/>
      <c r="J8" s="2"/>
      <c r="K8" s="2"/>
    </row>
    <row r="9" spans="1:11" x14ac:dyDescent="0.2">
      <c r="A9">
        <v>5</v>
      </c>
      <c r="B9" s="8">
        <v>0.04</v>
      </c>
      <c r="C9" s="8">
        <v>4.4999999999999998E-2</v>
      </c>
      <c r="D9" s="3"/>
      <c r="E9" s="1"/>
      <c r="F9" s="1" t="s">
        <v>5</v>
      </c>
      <c r="G9" s="1"/>
      <c r="I9" s="7" t="s">
        <v>6</v>
      </c>
      <c r="J9" s="7"/>
    </row>
    <row r="10" spans="1:11" x14ac:dyDescent="0.2">
      <c r="B10" s="8"/>
      <c r="C10" s="8"/>
      <c r="E10" s="1"/>
      <c r="F10" t="s">
        <v>1</v>
      </c>
      <c r="G10" t="s">
        <v>2</v>
      </c>
      <c r="H10" t="s">
        <v>10</v>
      </c>
      <c r="I10" t="s">
        <v>1</v>
      </c>
      <c r="J10" t="s">
        <v>2</v>
      </c>
      <c r="K10" t="s">
        <v>10</v>
      </c>
    </row>
    <row r="11" spans="1:11" x14ac:dyDescent="0.2">
      <c r="A11">
        <v>6</v>
      </c>
      <c r="B11" s="8">
        <v>1.4999999999999999E-2</v>
      </c>
      <c r="C11" s="8">
        <v>0.01</v>
      </c>
      <c r="E11" t="s">
        <v>9</v>
      </c>
      <c r="F11" s="3">
        <v>0.46678900000000001</v>
      </c>
      <c r="G11" s="3">
        <v>0.53321099999999999</v>
      </c>
      <c r="H11" s="5">
        <f>SUM(F11:G11)</f>
        <v>1</v>
      </c>
      <c r="I11" s="5">
        <v>0.75226099999999996</v>
      </c>
      <c r="J11" s="5">
        <v>0.24773899999999999</v>
      </c>
      <c r="K11" s="5">
        <f>SUM(I11:J11)</f>
        <v>1</v>
      </c>
    </row>
    <row r="12" spans="1:11" x14ac:dyDescent="0.2">
      <c r="A12">
        <v>7</v>
      </c>
      <c r="B12" s="8">
        <v>2.5000000000000001E-2</v>
      </c>
      <c r="C12" s="8">
        <v>0.03</v>
      </c>
      <c r="E12" s="4" t="s">
        <v>3</v>
      </c>
      <c r="F12" s="5">
        <f>$B11*F$11</f>
        <v>7.0018349999999997E-3</v>
      </c>
      <c r="G12" s="5">
        <f>$C11*G$11</f>
        <v>5.3321100000000001E-3</v>
      </c>
      <c r="H12" s="5">
        <f>SUM(F12:G12)</f>
        <v>1.2333944999999999E-2</v>
      </c>
      <c r="I12" s="5">
        <f>$B11*I$11</f>
        <v>1.1283914999999999E-2</v>
      </c>
      <c r="J12" s="5">
        <f>$C11*J$11</f>
        <v>2.4773899999999999E-3</v>
      </c>
      <c r="K12" s="5">
        <f>SUM(I12:J12)</f>
        <v>1.3761304999999998E-2</v>
      </c>
    </row>
    <row r="13" spans="1:11" x14ac:dyDescent="0.2">
      <c r="A13">
        <v>8</v>
      </c>
      <c r="B13" s="8">
        <v>1.7500000000000002E-2</v>
      </c>
      <c r="C13" s="8">
        <v>-5.0000000000000001E-3</v>
      </c>
      <c r="E13" s="4"/>
      <c r="F13" s="5">
        <f t="shared" ref="F13:G16" si="0">$B12*F$11</f>
        <v>1.1669725000000001E-2</v>
      </c>
      <c r="G13" s="5">
        <f t="shared" ref="G13:G16" si="1">$C12*G$11</f>
        <v>1.599633E-2</v>
      </c>
      <c r="H13" s="5">
        <f t="shared" ref="H13:H16" si="2">SUM(F13:G13)</f>
        <v>2.7666055000000002E-2</v>
      </c>
      <c r="I13" s="5">
        <f t="shared" ref="I13:I16" si="3">$B12*I$11</f>
        <v>1.8806525000000001E-2</v>
      </c>
      <c r="J13" s="5">
        <f t="shared" ref="J13:J16" si="4">$C12*J$11</f>
        <v>7.4321699999999992E-3</v>
      </c>
      <c r="K13" s="5">
        <f t="shared" ref="K13:K16" si="5">SUM(I13:J13)</f>
        <v>2.6238694999999999E-2</v>
      </c>
    </row>
    <row r="14" spans="1:11" x14ac:dyDescent="0.2">
      <c r="A14">
        <v>9</v>
      </c>
      <c r="B14" s="8">
        <v>2.75E-2</v>
      </c>
      <c r="C14" s="8">
        <v>0.03</v>
      </c>
      <c r="E14" s="4"/>
      <c r="F14" s="5">
        <f t="shared" si="0"/>
        <v>8.1688075000000016E-3</v>
      </c>
      <c r="G14" s="5">
        <f t="shared" si="1"/>
        <v>-2.6660550000000001E-3</v>
      </c>
      <c r="H14" s="5">
        <f t="shared" si="2"/>
        <v>5.5027525000000011E-3</v>
      </c>
      <c r="I14" s="5">
        <f t="shared" si="3"/>
        <v>1.31645675E-2</v>
      </c>
      <c r="J14" s="5">
        <f t="shared" si="4"/>
        <v>-1.2386949999999999E-3</v>
      </c>
      <c r="K14" s="5">
        <f t="shared" si="5"/>
        <v>1.19258725E-2</v>
      </c>
    </row>
    <row r="15" spans="1:11" x14ac:dyDescent="0.2">
      <c r="A15">
        <v>10</v>
      </c>
      <c r="B15" s="8">
        <v>1.8749999999999999E-2</v>
      </c>
      <c r="C15" s="8">
        <v>4.4999999999999998E-2</v>
      </c>
      <c r="E15" s="4"/>
      <c r="F15" s="5">
        <f t="shared" si="0"/>
        <v>1.2836697500000001E-2</v>
      </c>
      <c r="G15" s="5">
        <f t="shared" si="1"/>
        <v>1.599633E-2</v>
      </c>
      <c r="H15" s="5">
        <f t="shared" si="2"/>
        <v>2.88330275E-2</v>
      </c>
      <c r="I15" s="5">
        <f t="shared" si="3"/>
        <v>2.0687177499999997E-2</v>
      </c>
      <c r="J15" s="5">
        <f t="shared" si="4"/>
        <v>7.4321699999999992E-3</v>
      </c>
      <c r="K15" s="5">
        <f t="shared" si="5"/>
        <v>2.8119347499999996E-2</v>
      </c>
    </row>
    <row r="16" spans="1:11" x14ac:dyDescent="0.2">
      <c r="E16" s="4"/>
      <c r="F16" s="5">
        <f t="shared" si="0"/>
        <v>8.7522937499999991E-3</v>
      </c>
      <c r="G16" s="5">
        <f t="shared" si="1"/>
        <v>2.3994494999999998E-2</v>
      </c>
      <c r="H16" s="5">
        <f t="shared" si="2"/>
        <v>3.2746788749999999E-2</v>
      </c>
      <c r="I16" s="5">
        <f t="shared" si="3"/>
        <v>1.4104893749999998E-2</v>
      </c>
      <c r="J16" s="5">
        <f t="shared" si="4"/>
        <v>1.1148254999999999E-2</v>
      </c>
      <c r="K16" s="5">
        <f t="shared" si="5"/>
        <v>2.5253148749999996E-2</v>
      </c>
    </row>
    <row r="17" spans="5:11" x14ac:dyDescent="0.2">
      <c r="E17" t="s">
        <v>12</v>
      </c>
      <c r="H17" s="6" cm="1">
        <f t="array" ref="H17">PRODUCT(1 + H12:H16) * 100</f>
        <v>111.14702062969199</v>
      </c>
      <c r="K17" s="6" cm="1">
        <f t="array" ref="K17">PRODUCT(1 + K12:K16) * 100</f>
        <v>110.97047369324639</v>
      </c>
    </row>
  </sheetData>
  <mergeCells count="6">
    <mergeCell ref="E8:K8"/>
    <mergeCell ref="E12:E16"/>
    <mergeCell ref="B1:C1"/>
    <mergeCell ref="E1:I1"/>
    <mergeCell ref="F2:G2"/>
    <mergeCell ref="H2:I2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Siddhant Shah</dc:creator>
  <cp:lastModifiedBy>Siddhant Shah</cp:lastModifiedBy>
  <dcterms:created xsi:type="dcterms:W3CDTF">2025-06-02T12:30:03Z</dcterms:created>
  <dcterms:modified xsi:type="dcterms:W3CDTF">2025-06-02T13:56:18Z</dcterms:modified>
</cp:coreProperties>
</file>